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artin\Daten\Elektronikbasteln\Lishui-Controller\9FET-YosePower\"/>
    </mc:Choice>
  </mc:AlternateContent>
  <xr:revisionPtr revIDLastSave="0" documentId="13_ncr:1_{58845C89-634F-4B10-8997-110E9E53127D}" xr6:coauthVersionLast="47" xr6:coauthVersionMax="47" xr10:uidLastSave="{00000000-0000-0000-0000-000000000000}"/>
  <bookViews>
    <workbookView xWindow="28680" yWindow="-120" windowWidth="25440" windowHeight="15390" xr2:uid="{B17AE813-283B-4959-AF1E-B71C110E0781}"/>
  </bookViews>
  <sheets>
    <sheet name="Settings M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V18" i="1" s="1"/>
  <c r="U18" i="1"/>
  <c r="T17" i="1"/>
  <c r="V17" i="1" s="1"/>
  <c r="U17" i="1"/>
  <c r="U16" i="1"/>
  <c r="T16" i="1"/>
  <c r="V16" i="1" s="1"/>
  <c r="T15" i="1"/>
  <c r="T14" i="1"/>
  <c r="T13" i="1"/>
  <c r="T12" i="1"/>
  <c r="W12" i="1"/>
  <c r="T10" i="1"/>
  <c r="T11" i="1"/>
  <c r="W7" i="1"/>
  <c r="T7" i="1"/>
  <c r="U7" i="1"/>
  <c r="W6" i="1"/>
  <c r="W5" i="1"/>
  <c r="T8" i="1"/>
  <c r="U8" i="1"/>
  <c r="U6" i="1"/>
  <c r="U5" i="1"/>
  <c r="T6" i="1"/>
  <c r="T5" i="1"/>
</calcChain>
</file>

<file path=xl/sharedStrings.xml><?xml version="1.0" encoding="utf-8"?>
<sst xmlns="http://schemas.openxmlformats.org/spreadsheetml/2006/main" count="146" uniqueCount="64">
  <si>
    <t>3A</t>
  </si>
  <si>
    <t>1A</t>
  </si>
  <si>
    <t>A4</t>
  </si>
  <si>
    <t>7F</t>
  </si>
  <si>
    <t>D2</t>
  </si>
  <si>
    <t>0D</t>
  </si>
  <si>
    <t>0A</t>
  </si>
  <si>
    <t>Parameter</t>
  </si>
  <si>
    <t>Speedlimit</t>
  </si>
  <si>
    <t>Wert</t>
  </si>
  <si>
    <t>AA</t>
  </si>
  <si>
    <t>Wheelsize</t>
  </si>
  <si>
    <t>16"</t>
  </si>
  <si>
    <t>A3</t>
  </si>
  <si>
    <t>F0</t>
  </si>
  <si>
    <t>Funktion</t>
  </si>
  <si>
    <t>Tour reset</t>
  </si>
  <si>
    <t>Nicht im Protokoll</t>
  </si>
  <si>
    <t>km/h - miles</t>
  </si>
  <si>
    <t>SPS</t>
  </si>
  <si>
    <t>Speedsensor</t>
  </si>
  <si>
    <t>lässt sich nur als 1 oder als 6 auswählen.</t>
  </si>
  <si>
    <t>PAS</t>
  </si>
  <si>
    <t>run-b</t>
  </si>
  <si>
    <t>PAS Richtung</t>
  </si>
  <si>
    <t>nur ein Bit</t>
  </si>
  <si>
    <t>Empfindlichkeit PAS</t>
  </si>
  <si>
    <t>SCN 10</t>
  </si>
  <si>
    <t>4A</t>
  </si>
  <si>
    <t>8F</t>
  </si>
  <si>
    <t>HND</t>
  </si>
  <si>
    <t>HF:y</t>
  </si>
  <si>
    <t>0F</t>
  </si>
  <si>
    <t>Byte 6, Bit 7</t>
  </si>
  <si>
    <t>Handgas y/n</t>
  </si>
  <si>
    <t>Handgas 6km/h y/n</t>
  </si>
  <si>
    <t>HL:y</t>
  </si>
  <si>
    <t>C6</t>
  </si>
  <si>
    <t>4F</t>
  </si>
  <si>
    <t>Byte 6, Bit 6</t>
  </si>
  <si>
    <t>SYS</t>
  </si>
  <si>
    <t>Langsames Anfahren</t>
  </si>
  <si>
    <t>SSP-3</t>
  </si>
  <si>
    <t>F6</t>
  </si>
  <si>
    <t>Einstellbar SSP-0 bis SSP-3</t>
  </si>
  <si>
    <t>D6</t>
  </si>
  <si>
    <t>Byte 6, Bit 4+5</t>
  </si>
  <si>
    <t>max. Strom</t>
  </si>
  <si>
    <t>Cur:10</t>
  </si>
  <si>
    <t>Einstellbar von  Cur:3 bis Cur:30</t>
  </si>
  <si>
    <t>BC</t>
  </si>
  <si>
    <t>Cur:03</t>
  </si>
  <si>
    <t>Cur:30</t>
  </si>
  <si>
    <t>Byte 8, (Bits 0 bis 6)/2</t>
  </si>
  <si>
    <t>Byte 10: (Bits 3 bis 7)+10</t>
  </si>
  <si>
    <t>Byte 10: Bits 0 bis 2</t>
  </si>
  <si>
    <t>Byte 6: Bits 0 bis 2</t>
  </si>
  <si>
    <t>Byte 4: Bit 6</t>
  </si>
  <si>
    <t>Byte 4: Bytes 0-5</t>
  </si>
  <si>
    <t>Einstellbar von SCN:02 bis SCN:63</t>
  </si>
  <si>
    <t>Byte-Nr.</t>
  </si>
  <si>
    <t>neun wählbare Größen werden in Zahlen 0-7 gewandelt, 
27,5 und 700c sind beide 6</t>
  </si>
  <si>
    <t>Kommentar</t>
  </si>
  <si>
    <t>Aufschlüsselung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</si>
</sst>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DA5B-F14F-4220-8D71-4928F986ADF0}">
  <dimension ref="A1:Y18"/>
  <sheetViews>
    <sheetView tabSelected="1" workbookViewId="0">
      <selection activeCell="M28" sqref="M28"/>
    </sheetView>
  </sheetViews>
  <sheetFormatPr baseColWidth="10" defaultRowHeight="15" x14ac:dyDescent="0.25"/>
  <cols>
    <col min="2" max="2" width="19" bestFit="1" customWidth="1"/>
    <col min="3" max="3" width="11.42578125" style="1"/>
    <col min="4" max="6" width="4.140625" style="1" customWidth="1"/>
    <col min="7" max="14" width="4.140625" style="2" customWidth="1"/>
    <col min="15" max="18" width="4.140625" style="1" customWidth="1"/>
    <col min="19" max="23" width="11.42578125" hidden="1" customWidth="1"/>
    <col min="24" max="24" width="21.85546875" bestFit="1" customWidth="1"/>
    <col min="25" max="25" width="51.7109375" bestFit="1" customWidth="1"/>
  </cols>
  <sheetData>
    <row r="1" spans="1:25" ht="15.75" thickBot="1" x14ac:dyDescent="0.3"/>
    <row r="2" spans="1:25" ht="15.75" thickBot="1" x14ac:dyDescent="0.3">
      <c r="D2" s="16" t="s">
        <v>60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25" ht="15.75" thickBot="1" x14ac:dyDescent="0.3">
      <c r="A3" s="25" t="s">
        <v>7</v>
      </c>
      <c r="B3" s="25" t="s">
        <v>15</v>
      </c>
      <c r="C3" s="2" t="s">
        <v>9</v>
      </c>
      <c r="D3" s="19">
        <v>0</v>
      </c>
      <c r="E3" s="20">
        <v>1</v>
      </c>
      <c r="F3" s="20">
        <v>2</v>
      </c>
      <c r="G3" s="20">
        <v>3</v>
      </c>
      <c r="H3" s="21">
        <v>4</v>
      </c>
      <c r="I3" s="22">
        <v>5</v>
      </c>
      <c r="J3" s="22">
        <v>6</v>
      </c>
      <c r="K3" s="22">
        <v>7</v>
      </c>
      <c r="L3" s="22">
        <v>8</v>
      </c>
      <c r="M3" s="22">
        <v>9</v>
      </c>
      <c r="N3" s="23">
        <v>10</v>
      </c>
      <c r="O3" s="26">
        <v>11</v>
      </c>
      <c r="P3" s="26">
        <v>12</v>
      </c>
      <c r="Q3" s="26">
        <v>13</v>
      </c>
      <c r="R3" s="27">
        <v>14</v>
      </c>
      <c r="S3" s="25"/>
      <c r="T3" s="25"/>
      <c r="U3" s="25"/>
      <c r="V3" s="25"/>
      <c r="W3" s="25"/>
      <c r="X3" s="25" t="s">
        <v>63</v>
      </c>
      <c r="Y3" s="25" t="s">
        <v>62</v>
      </c>
    </row>
    <row r="4" spans="1:25" x14ac:dyDescent="0.25">
      <c r="A4" s="4">
        <v>1</v>
      </c>
      <c r="B4" t="s">
        <v>16</v>
      </c>
      <c r="D4" s="3"/>
      <c r="E4" s="3"/>
      <c r="F4" s="3"/>
      <c r="G4" s="3"/>
      <c r="H4" s="5"/>
      <c r="I4" s="6"/>
      <c r="J4" s="6"/>
      <c r="K4" s="6"/>
      <c r="L4" s="6"/>
      <c r="M4" s="6"/>
      <c r="N4" s="7"/>
      <c r="O4" s="6"/>
      <c r="P4" s="3"/>
      <c r="Q4" s="3"/>
      <c r="R4" s="3"/>
      <c r="X4" t="s">
        <v>17</v>
      </c>
    </row>
    <row r="5" spans="1:25" x14ac:dyDescent="0.25">
      <c r="A5" s="4">
        <v>2</v>
      </c>
      <c r="B5" t="s">
        <v>8</v>
      </c>
      <c r="C5" s="1">
        <v>25</v>
      </c>
      <c r="D5" s="1" t="s">
        <v>0</v>
      </c>
      <c r="E5" s="1" t="s">
        <v>1</v>
      </c>
      <c r="F5" s="1">
        <v>53</v>
      </c>
      <c r="G5" s="15">
        <v>7</v>
      </c>
      <c r="H5" s="8">
        <v>3</v>
      </c>
      <c r="I5" s="9">
        <v>80</v>
      </c>
      <c r="J5" s="9">
        <v>1</v>
      </c>
      <c r="K5" s="9">
        <v>85</v>
      </c>
      <c r="L5" s="9" t="s">
        <v>2</v>
      </c>
      <c r="M5" s="9">
        <v>32</v>
      </c>
      <c r="N5" s="29" t="s">
        <v>3</v>
      </c>
      <c r="O5" s="28" t="s">
        <v>4</v>
      </c>
      <c r="P5" s="1">
        <v>2</v>
      </c>
      <c r="Q5" s="1" t="s">
        <v>5</v>
      </c>
      <c r="R5" s="1" t="s">
        <v>6</v>
      </c>
      <c r="T5">
        <f>HEX2DEC(N5)</f>
        <v>127</v>
      </c>
      <c r="U5" t="str">
        <f>HEX2BIN(N5)</f>
        <v>1111111</v>
      </c>
      <c r="V5">
        <v>1111</v>
      </c>
      <c r="W5">
        <f>BIN2DEC(V5)</f>
        <v>15</v>
      </c>
      <c r="X5" t="s">
        <v>54</v>
      </c>
    </row>
    <row r="6" spans="1:25" x14ac:dyDescent="0.25">
      <c r="A6" s="4"/>
      <c r="C6" s="1">
        <v>20</v>
      </c>
      <c r="D6" s="1" t="s">
        <v>0</v>
      </c>
      <c r="E6" s="1" t="s">
        <v>1</v>
      </c>
      <c r="F6" s="1">
        <v>53</v>
      </c>
      <c r="G6" s="15">
        <v>7</v>
      </c>
      <c r="H6" s="8">
        <v>3</v>
      </c>
      <c r="I6" s="9">
        <v>80</v>
      </c>
      <c r="J6" s="9">
        <v>1</v>
      </c>
      <c r="K6" s="9">
        <v>85</v>
      </c>
      <c r="L6" s="9" t="s">
        <v>2</v>
      </c>
      <c r="M6" s="9">
        <v>32</v>
      </c>
      <c r="N6" s="29">
        <v>57</v>
      </c>
      <c r="O6" s="28" t="s">
        <v>10</v>
      </c>
      <c r="P6" s="1">
        <v>2</v>
      </c>
      <c r="Q6" s="1" t="s">
        <v>5</v>
      </c>
      <c r="R6" s="1" t="s">
        <v>6</v>
      </c>
      <c r="T6">
        <f>HEX2DEC(N6)</f>
        <v>87</v>
      </c>
      <c r="U6" t="str">
        <f>HEX2BIN(N6)</f>
        <v>1010111</v>
      </c>
      <c r="V6">
        <v>1010</v>
      </c>
      <c r="W6">
        <f>BIN2DEC(V6)</f>
        <v>10</v>
      </c>
    </row>
    <row r="7" spans="1:25" x14ac:dyDescent="0.25">
      <c r="A7" s="4"/>
      <c r="C7" s="1">
        <v>40</v>
      </c>
      <c r="D7" s="1" t="s">
        <v>0</v>
      </c>
      <c r="E7" s="1" t="s">
        <v>1</v>
      </c>
      <c r="F7" s="1">
        <v>53</v>
      </c>
      <c r="G7" s="15">
        <v>7</v>
      </c>
      <c r="H7" s="8">
        <v>3</v>
      </c>
      <c r="I7" s="9">
        <v>80</v>
      </c>
      <c r="J7" s="9">
        <v>1</v>
      </c>
      <c r="K7" s="9">
        <v>85</v>
      </c>
      <c r="L7" s="9" t="s">
        <v>2</v>
      </c>
      <c r="M7" s="9">
        <v>32</v>
      </c>
      <c r="N7" s="29" t="s">
        <v>14</v>
      </c>
      <c r="O7" s="28">
        <v>43</v>
      </c>
      <c r="P7" s="1">
        <v>3</v>
      </c>
      <c r="Q7" s="1" t="s">
        <v>5</v>
      </c>
      <c r="R7" s="1" t="s">
        <v>6</v>
      </c>
      <c r="T7">
        <f>HEX2DEC(N7)</f>
        <v>240</v>
      </c>
      <c r="U7" t="str">
        <f>HEX2BIN(N7)</f>
        <v>11110000</v>
      </c>
      <c r="V7">
        <v>11110</v>
      </c>
      <c r="W7">
        <f>BIN2DEC(V7)</f>
        <v>30</v>
      </c>
    </row>
    <row r="8" spans="1:25" ht="30" x14ac:dyDescent="0.25">
      <c r="A8" s="4">
        <v>3</v>
      </c>
      <c r="B8" t="s">
        <v>11</v>
      </c>
      <c r="C8" s="1" t="s">
        <v>12</v>
      </c>
      <c r="D8" s="1" t="s">
        <v>0</v>
      </c>
      <c r="E8" s="1" t="s">
        <v>1</v>
      </c>
      <c r="F8" s="1">
        <v>53</v>
      </c>
      <c r="G8" s="15">
        <v>7</v>
      </c>
      <c r="H8" s="8">
        <v>3</v>
      </c>
      <c r="I8" s="9">
        <v>80</v>
      </c>
      <c r="J8" s="9">
        <v>1</v>
      </c>
      <c r="K8" s="9">
        <v>85</v>
      </c>
      <c r="L8" s="9" t="s">
        <v>2</v>
      </c>
      <c r="M8" s="9">
        <v>32</v>
      </c>
      <c r="N8" s="30">
        <v>50</v>
      </c>
      <c r="O8" s="28" t="s">
        <v>13</v>
      </c>
      <c r="P8" s="1">
        <v>2</v>
      </c>
      <c r="Q8" s="1" t="s">
        <v>5</v>
      </c>
      <c r="R8" s="1" t="s">
        <v>6</v>
      </c>
      <c r="T8">
        <f>HEX2DEC(N8)</f>
        <v>80</v>
      </c>
      <c r="U8" t="str">
        <f>HEX2BIN(N8)</f>
        <v>1010000</v>
      </c>
      <c r="X8" t="s">
        <v>55</v>
      </c>
      <c r="Y8" s="24" t="s">
        <v>61</v>
      </c>
    </row>
    <row r="9" spans="1:25" x14ac:dyDescent="0.25">
      <c r="A9" s="4">
        <v>4</v>
      </c>
      <c r="B9" t="s">
        <v>18</v>
      </c>
      <c r="G9" s="15"/>
      <c r="H9" s="8"/>
      <c r="I9" s="9"/>
      <c r="J9" s="9"/>
      <c r="K9" s="9"/>
      <c r="L9" s="9"/>
      <c r="M9" s="9"/>
      <c r="N9" s="30"/>
      <c r="O9" s="28"/>
      <c r="X9" t="s">
        <v>17</v>
      </c>
    </row>
    <row r="10" spans="1:25" x14ac:dyDescent="0.25">
      <c r="A10" s="4" t="s">
        <v>19</v>
      </c>
      <c r="B10" t="s">
        <v>20</v>
      </c>
      <c r="C10" s="1">
        <v>6</v>
      </c>
      <c r="D10" s="1" t="s">
        <v>0</v>
      </c>
      <c r="E10" s="1" t="s">
        <v>1</v>
      </c>
      <c r="F10" s="1">
        <v>53</v>
      </c>
      <c r="G10" s="15">
        <v>7</v>
      </c>
      <c r="H10" s="8">
        <v>3</v>
      </c>
      <c r="I10" s="9">
        <v>80</v>
      </c>
      <c r="J10" s="10">
        <v>6</v>
      </c>
      <c r="K10" s="9">
        <v>85</v>
      </c>
      <c r="L10" s="9" t="s">
        <v>2</v>
      </c>
      <c r="M10" s="9">
        <v>32</v>
      </c>
      <c r="N10" s="30" t="s">
        <v>14</v>
      </c>
      <c r="O10" s="28">
        <v>48</v>
      </c>
      <c r="P10" s="1">
        <v>3</v>
      </c>
      <c r="Q10" s="1" t="s">
        <v>5</v>
      </c>
      <c r="R10" s="1" t="s">
        <v>6</v>
      </c>
      <c r="T10" t="str">
        <f>HEX2BIN(H10)</f>
        <v>11</v>
      </c>
      <c r="X10" t="s">
        <v>56</v>
      </c>
      <c r="Y10" t="s">
        <v>21</v>
      </c>
    </row>
    <row r="11" spans="1:25" x14ac:dyDescent="0.25">
      <c r="A11" s="4" t="s">
        <v>22</v>
      </c>
      <c r="B11" t="s">
        <v>24</v>
      </c>
      <c r="C11" t="s">
        <v>23</v>
      </c>
      <c r="D11" s="1" t="s">
        <v>0</v>
      </c>
      <c r="E11" s="1" t="s">
        <v>1</v>
      </c>
      <c r="F11" s="1">
        <v>53</v>
      </c>
      <c r="G11" s="15">
        <v>7</v>
      </c>
      <c r="H11" s="11">
        <v>43</v>
      </c>
      <c r="I11" s="9">
        <v>80</v>
      </c>
      <c r="J11" s="9">
        <v>6</v>
      </c>
      <c r="K11" s="9">
        <v>85</v>
      </c>
      <c r="L11" s="9" t="s">
        <v>2</v>
      </c>
      <c r="M11" s="9">
        <v>32</v>
      </c>
      <c r="N11" s="30" t="s">
        <v>14</v>
      </c>
      <c r="O11" s="28">
        <v>88</v>
      </c>
      <c r="P11" s="1">
        <v>3</v>
      </c>
      <c r="Q11" s="1" t="s">
        <v>5</v>
      </c>
      <c r="R11" s="1" t="s">
        <v>6</v>
      </c>
      <c r="T11" t="str">
        <f>HEX2BIN(H11)</f>
        <v>1000011</v>
      </c>
      <c r="X11" t="s">
        <v>57</v>
      </c>
      <c r="Y11" t="s">
        <v>25</v>
      </c>
    </row>
    <row r="12" spans="1:25" x14ac:dyDescent="0.25">
      <c r="A12" s="4" t="s">
        <v>22</v>
      </c>
      <c r="B12" t="s">
        <v>26</v>
      </c>
      <c r="C12" s="1" t="s">
        <v>27</v>
      </c>
      <c r="D12" s="1" t="s">
        <v>0</v>
      </c>
      <c r="E12" s="1" t="s">
        <v>1</v>
      </c>
      <c r="F12" s="1">
        <v>53</v>
      </c>
      <c r="G12" s="15">
        <v>7</v>
      </c>
      <c r="H12" s="11" t="s">
        <v>28</v>
      </c>
      <c r="I12" s="9">
        <v>80</v>
      </c>
      <c r="J12" s="9">
        <v>6</v>
      </c>
      <c r="K12" s="9">
        <v>85</v>
      </c>
      <c r="L12" s="9" t="s">
        <v>2</v>
      </c>
      <c r="M12" s="9">
        <v>32</v>
      </c>
      <c r="N12" s="30" t="s">
        <v>14</v>
      </c>
      <c r="O12" s="28" t="s">
        <v>29</v>
      </c>
      <c r="P12" s="1">
        <v>3</v>
      </c>
      <c r="Q12" s="1" t="s">
        <v>5</v>
      </c>
      <c r="R12" s="1" t="s">
        <v>6</v>
      </c>
      <c r="T12" t="str">
        <f>HEX2BIN(J12)</f>
        <v>110</v>
      </c>
      <c r="V12">
        <v>1010</v>
      </c>
      <c r="W12">
        <f>BIN2DEC(V12)</f>
        <v>10</v>
      </c>
      <c r="X12" t="s">
        <v>58</v>
      </c>
      <c r="Y12" t="s">
        <v>59</v>
      </c>
    </row>
    <row r="13" spans="1:25" x14ac:dyDescent="0.25">
      <c r="A13" s="4" t="s">
        <v>30</v>
      </c>
      <c r="B13" t="s">
        <v>34</v>
      </c>
      <c r="C13" s="1" t="s">
        <v>31</v>
      </c>
      <c r="D13" s="1" t="s">
        <v>0</v>
      </c>
      <c r="E13" s="1" t="s">
        <v>1</v>
      </c>
      <c r="F13" s="1">
        <v>53</v>
      </c>
      <c r="G13" s="15">
        <v>7</v>
      </c>
      <c r="H13" s="8" t="s">
        <v>28</v>
      </c>
      <c r="I13" s="9">
        <v>80</v>
      </c>
      <c r="J13" s="10">
        <v>86</v>
      </c>
      <c r="K13" s="9">
        <v>85</v>
      </c>
      <c r="L13" s="9" t="s">
        <v>2</v>
      </c>
      <c r="M13" s="9">
        <v>32</v>
      </c>
      <c r="N13" s="30" t="s">
        <v>14</v>
      </c>
      <c r="O13" s="28" t="s">
        <v>32</v>
      </c>
      <c r="P13" s="1">
        <v>4</v>
      </c>
      <c r="Q13" s="1" t="s">
        <v>5</v>
      </c>
      <c r="R13" s="1" t="s">
        <v>6</v>
      </c>
      <c r="T13" t="str">
        <f>HEX2BIN(J13)</f>
        <v>10000110</v>
      </c>
      <c r="X13" t="s">
        <v>33</v>
      </c>
      <c r="Y13" t="s">
        <v>25</v>
      </c>
    </row>
    <row r="14" spans="1:25" x14ac:dyDescent="0.25">
      <c r="A14" s="4" t="s">
        <v>30</v>
      </c>
      <c r="B14" t="s">
        <v>35</v>
      </c>
      <c r="C14" s="1" t="s">
        <v>36</v>
      </c>
      <c r="D14" s="1" t="s">
        <v>0</v>
      </c>
      <c r="E14" s="1" t="s">
        <v>1</v>
      </c>
      <c r="F14" s="1">
        <v>53</v>
      </c>
      <c r="G14" s="15">
        <v>7</v>
      </c>
      <c r="H14" s="8" t="s">
        <v>28</v>
      </c>
      <c r="I14" s="9">
        <v>80</v>
      </c>
      <c r="J14" s="10" t="s">
        <v>37</v>
      </c>
      <c r="K14" s="9">
        <v>85</v>
      </c>
      <c r="L14" s="9" t="s">
        <v>2</v>
      </c>
      <c r="M14" s="9">
        <v>32</v>
      </c>
      <c r="N14" s="30" t="s">
        <v>14</v>
      </c>
      <c r="O14" s="28" t="s">
        <v>38</v>
      </c>
      <c r="P14" s="1">
        <v>4</v>
      </c>
      <c r="Q14" s="1" t="s">
        <v>5</v>
      </c>
      <c r="R14" s="1" t="s">
        <v>6</v>
      </c>
      <c r="T14" t="str">
        <f>HEX2BIN(J14)</f>
        <v>11000110</v>
      </c>
      <c r="X14" t="s">
        <v>39</v>
      </c>
      <c r="Y14" t="s">
        <v>25</v>
      </c>
    </row>
    <row r="15" spans="1:25" x14ac:dyDescent="0.25">
      <c r="A15" s="4" t="s">
        <v>40</v>
      </c>
      <c r="B15" t="s">
        <v>41</v>
      </c>
      <c r="C15" s="1" t="s">
        <v>42</v>
      </c>
      <c r="D15" s="1" t="s">
        <v>0</v>
      </c>
      <c r="E15" s="1" t="s">
        <v>1</v>
      </c>
      <c r="F15" s="1">
        <v>53</v>
      </c>
      <c r="G15" s="15">
        <v>7</v>
      </c>
      <c r="H15" s="8" t="s">
        <v>28</v>
      </c>
      <c r="I15" s="9">
        <v>80</v>
      </c>
      <c r="J15" s="10" t="s">
        <v>43</v>
      </c>
      <c r="K15" s="9">
        <v>85</v>
      </c>
      <c r="L15" s="9" t="s">
        <v>2</v>
      </c>
      <c r="M15" s="9">
        <v>32</v>
      </c>
      <c r="N15" s="30" t="s">
        <v>14</v>
      </c>
      <c r="O15" s="28" t="s">
        <v>3</v>
      </c>
      <c r="P15" s="1">
        <v>4</v>
      </c>
      <c r="Q15" s="1" t="s">
        <v>5</v>
      </c>
      <c r="R15" s="1" t="s">
        <v>6</v>
      </c>
      <c r="T15" t="str">
        <f>HEX2BIN(J15)</f>
        <v>11110110</v>
      </c>
      <c r="X15" t="s">
        <v>46</v>
      </c>
      <c r="Y15" t="s">
        <v>44</v>
      </c>
    </row>
    <row r="16" spans="1:25" x14ac:dyDescent="0.25">
      <c r="A16" s="4" t="s">
        <v>40</v>
      </c>
      <c r="B16" t="s">
        <v>47</v>
      </c>
      <c r="C16" s="1" t="s">
        <v>48</v>
      </c>
      <c r="D16" s="1" t="s">
        <v>0</v>
      </c>
      <c r="E16" s="1" t="s">
        <v>1</v>
      </c>
      <c r="F16" s="1">
        <v>53</v>
      </c>
      <c r="G16" s="15">
        <v>7</v>
      </c>
      <c r="H16" s="8" t="s">
        <v>28</v>
      </c>
      <c r="I16" s="9">
        <v>80</v>
      </c>
      <c r="J16" s="9" t="s">
        <v>45</v>
      </c>
      <c r="K16" s="9">
        <v>85</v>
      </c>
      <c r="L16" s="10">
        <v>94</v>
      </c>
      <c r="M16" s="9">
        <v>32</v>
      </c>
      <c r="N16" s="30" t="s">
        <v>14</v>
      </c>
      <c r="O16" s="28" t="s">
        <v>38</v>
      </c>
      <c r="P16" s="1">
        <v>4</v>
      </c>
      <c r="Q16" s="1" t="s">
        <v>5</v>
      </c>
      <c r="R16" s="1" t="s">
        <v>6</v>
      </c>
      <c r="T16">
        <f>HEX2DEC(L16)</f>
        <v>148</v>
      </c>
      <c r="U16" t="str">
        <f>HEX2BIN(L16)</f>
        <v>10010100</v>
      </c>
      <c r="V16">
        <f>T16-128</f>
        <v>20</v>
      </c>
      <c r="X16" t="s">
        <v>53</v>
      </c>
      <c r="Y16" t="s">
        <v>49</v>
      </c>
    </row>
    <row r="17" spans="3:22" x14ac:dyDescent="0.25">
      <c r="C17" s="1" t="s">
        <v>51</v>
      </c>
      <c r="D17" s="1" t="s">
        <v>0</v>
      </c>
      <c r="E17" s="1" t="s">
        <v>1</v>
      </c>
      <c r="F17" s="1">
        <v>53</v>
      </c>
      <c r="G17" s="15">
        <v>7</v>
      </c>
      <c r="H17" s="8" t="s">
        <v>28</v>
      </c>
      <c r="I17" s="9">
        <v>80</v>
      </c>
      <c r="J17" s="9" t="s">
        <v>45</v>
      </c>
      <c r="K17" s="9">
        <v>85</v>
      </c>
      <c r="L17" s="10">
        <v>86</v>
      </c>
      <c r="M17" s="9">
        <v>32</v>
      </c>
      <c r="N17" s="30" t="s">
        <v>14</v>
      </c>
      <c r="O17" s="28">
        <v>41</v>
      </c>
      <c r="P17" s="1">
        <v>4</v>
      </c>
      <c r="Q17" s="1" t="s">
        <v>5</v>
      </c>
      <c r="R17" s="1" t="s">
        <v>6</v>
      </c>
      <c r="T17">
        <f>HEX2DEC(L17)</f>
        <v>134</v>
      </c>
      <c r="U17" t="str">
        <f>HEX2BIN(L17)</f>
        <v>10000110</v>
      </c>
      <c r="V17">
        <f t="shared" ref="V17:V18" si="0">T17-128</f>
        <v>6</v>
      </c>
    </row>
    <row r="18" spans="3:22" ht="15.75" thickBot="1" x14ac:dyDescent="0.3">
      <c r="C18" s="1" t="s">
        <v>52</v>
      </c>
      <c r="D18" s="1" t="s">
        <v>0</v>
      </c>
      <c r="E18" s="1" t="s">
        <v>1</v>
      </c>
      <c r="F18" s="1">
        <v>53</v>
      </c>
      <c r="G18" s="15">
        <v>7</v>
      </c>
      <c r="H18" s="12" t="s">
        <v>28</v>
      </c>
      <c r="I18" s="13">
        <v>80</v>
      </c>
      <c r="J18" s="13" t="s">
        <v>45</v>
      </c>
      <c r="K18" s="13">
        <v>85</v>
      </c>
      <c r="L18" s="14" t="s">
        <v>50</v>
      </c>
      <c r="M18" s="13">
        <v>32</v>
      </c>
      <c r="N18" s="31" t="s">
        <v>14</v>
      </c>
      <c r="O18" s="28">
        <v>77</v>
      </c>
      <c r="P18" s="1">
        <v>4</v>
      </c>
      <c r="Q18" s="1" t="s">
        <v>5</v>
      </c>
      <c r="R18" s="1" t="s">
        <v>6</v>
      </c>
      <c r="T18">
        <f>HEX2DEC(L18)</f>
        <v>188</v>
      </c>
      <c r="U18" t="str">
        <f>HEX2BIN(L18)</f>
        <v>10111100</v>
      </c>
      <c r="V18">
        <f t="shared" si="0"/>
        <v>60</v>
      </c>
    </row>
  </sheetData>
  <mergeCells count="1">
    <mergeCell ref="D2:R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Settings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</dc:creator>
  <cp:lastModifiedBy>eis</cp:lastModifiedBy>
  <dcterms:created xsi:type="dcterms:W3CDTF">2023-11-04T15:16:24Z</dcterms:created>
  <dcterms:modified xsi:type="dcterms:W3CDTF">2023-11-04T16:19:17Z</dcterms:modified>
</cp:coreProperties>
</file>